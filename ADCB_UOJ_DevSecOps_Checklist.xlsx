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OJ DevSecOps Checklist" sheetId="1" state="visible" r:id="rId3"/>
    <sheet name="Dashboard" sheetId="2" state="visible" r:id="rId4"/>
    <sheet name="Legend" sheetId="3" state="visible" r:id="rId5"/>
  </sheets>
  <definedNames>
    <definedName function="false" hidden="true" localSheetId="0" name="_xlnm._FilterDatabase" vbProcedure="false">'UOJ DevSecOps Checklist'!$A$3:$J$44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<sst xmlns="http://schemas.openxmlformats.org/spreadsheetml/2006/main" count="313" uniqueCount="135">
  <si>
    <t xml:space="preserve">ADCB DevSecOps Security Baseline — UOJ Compliance Tracker</t>
  </si>
  <si>
    <t xml:space="preserve">Unified Onboarding Journey (UOJ) · F.1 CI/CD Pipeline Controls · 41 items  |  Update 'UOJ Status' column as work progresses</t>
  </si>
  <si>
    <t xml:space="preserve">ID</t>
  </si>
  <si>
    <t xml:space="preserve">Category</t>
  </si>
  <si>
    <t xml:space="preserve">Control Summary</t>
  </si>
  <si>
    <t xml:space="preserve">UOJ Status</t>
  </si>
  <si>
    <t xml:space="preserve">Owner</t>
  </si>
  <si>
    <t xml:space="preserve">Target Date</t>
  </si>
  <si>
    <t xml:space="preserve">Evidence / Notes</t>
  </si>
  <si>
    <t xml:space="preserve">Priority</t>
  </si>
  <si>
    <t xml:space="preserve">Blocker?</t>
  </si>
  <si>
    <t xml:space="preserve">Linked JIRA</t>
  </si>
  <si>
    <t xml:space="preserve">1.1</t>
  </si>
  <si>
    <t xml:space="preserve">Pipeline Infra</t>
  </si>
  <si>
    <t xml:space="preserve">All build and deployment jobs run on ephemeral, short-lived agents provisioned dynamically and destroyed immediately after completion.</t>
  </si>
  <si>
    <t xml:space="preserve">Not Started</t>
  </si>
  <si>
    <t xml:space="preserve">High</t>
  </si>
  <si>
    <t xml:space="preserve">No</t>
  </si>
  <si>
    <t xml:space="preserve">1.2</t>
  </si>
  <si>
    <t xml:space="preserve">Access &amp; IAM</t>
  </si>
  <si>
    <t xml:space="preserve">All source code repositories remain private; access restricted to corporate network or trusted VPN endpoints.</t>
  </si>
  <si>
    <t xml:space="preserve">1.3</t>
  </si>
  <si>
    <t xml:space="preserve">Builds execute in isolated, ephemeral environments. No shared resources, credentials, or network access across concurrent jobs. Least-privilege agents.</t>
  </si>
  <si>
    <t xml:space="preserve">1.4</t>
  </si>
  <si>
    <t xml:space="preserve">Branch &amp; Code</t>
  </si>
  <si>
    <t xml:space="preserve">Pipeline/workflow files reside in version control and changed only through approved pull requests.</t>
  </si>
  <si>
    <t xml:space="preserve">1.5</t>
  </si>
  <si>
    <t xml:space="preserve">Build agents authenticate to cloud providers using least-privilege IAM roles or service principals scoped to their function.</t>
  </si>
  <si>
    <t xml:space="preserve">1.6</t>
  </si>
  <si>
    <t xml:space="preserve">Self-hosted runners use a minimalistic, CIS-hardened OS image with only essential components. Regularly patched and re-baselined.</t>
  </si>
  <si>
    <t xml:space="preserve">1.7</t>
  </si>
  <si>
    <t xml:space="preserve">Self-hosted runners operate in isolated subnets/VNets with private endpoints and restricted egress.</t>
  </si>
  <si>
    <t xml:space="preserve">1.8</t>
  </si>
  <si>
    <t xml:space="preserve">Secrets Mgmt</t>
  </si>
  <si>
    <t xml:space="preserve">Runners must not persist secrets. Injected at runtime via OIDC/short-lived credentials. Never written to disk, cached, or stored in images.</t>
  </si>
  <si>
    <t xml:space="preserve">Critical</t>
  </si>
  <si>
    <t xml:space="preserve">1.9</t>
  </si>
  <si>
    <t xml:space="preserve">All self-hosted runners centrally registered, integrity-checked, and monitored. Unverified runners blocked.</t>
  </si>
  <si>
    <t xml:space="preserve">1.10</t>
  </si>
  <si>
    <t xml:space="preserve">Runners use authenticated/trusted channels, minimal secret/token scope, and operate as single-use ephemeral instances destroyed on job completion.</t>
  </si>
  <si>
    <t xml:space="preserve">1.11</t>
  </si>
  <si>
    <t xml:space="preserve">Pipelines follow single-responsibility principle. Build/test/deploy stages use separate identities/environments. No shared credentials across prod/non-prod.</t>
  </si>
  <si>
    <t xml:space="preserve">1.12</t>
  </si>
  <si>
    <t xml:space="preserve">Protected branches (main/master/release/*) enforce mandatory approval workflows, segregation of duties, security scans, and policy gates before merge.</t>
  </si>
  <si>
    <t xml:space="preserve">1.13</t>
  </si>
  <si>
    <t xml:space="preserve">All commits must be cryptographically signed using GPG or X.509 certs linked to verified corporate identities.</t>
  </si>
  <si>
    <t xml:space="preserve">1.14</t>
  </si>
  <si>
    <t xml:space="preserve">All releases tagged, signed, and immutable. Unique cryptographic tag per release. Tags protected from modification/deletion.</t>
  </si>
  <si>
    <t xml:space="preserve">1.15</t>
  </si>
  <si>
    <t xml:space="preserve">Identities operate under least privilege. Admin/write/merge privileges restricted to designated maintainers. Access changes audited and periodically reviewed.</t>
  </si>
  <si>
    <t xml:space="preserve">1.16</t>
  </si>
  <si>
    <t xml:space="preserve">Access to VCS federated through Entra ID SSO with Conditional Access enforcing MFA. Service accounts use short-lived OIDC tokens, not static credentials.</t>
  </si>
  <si>
    <t xml:space="preserve">1.17</t>
  </si>
  <si>
    <t xml:space="preserve">AI-assisted coding uses enterprise-managed instances with DLP controls. AI-generated code scanned before merge.</t>
  </si>
  <si>
    <t xml:space="preserve">Medium</t>
  </si>
  <si>
    <t xml:space="preserve">1.18</t>
  </si>
  <si>
    <t xml:space="preserve">Branch protection rules must not be bypassable. Enforcement settings immutable. Break-glass procedure required for emergency overrides.</t>
  </si>
  <si>
    <t xml:space="preserve">1.19</t>
  </si>
  <si>
    <t xml:space="preserve">Main branch fully protected: mandatory approvals, signed commits, passing status checks. Direct commits strictly prohibited except via approved CI/CD automation.</t>
  </si>
  <si>
    <t xml:space="preserve">1.20</t>
  </si>
  <si>
    <t xml:space="preserve">Dependency &amp; SCA</t>
  </si>
  <si>
    <t xml:space="preserve">Controlled dependency acquisition: packages fetched only through approved internal mirrors/registries. Direct public Internet downloads blocked.</t>
  </si>
  <si>
    <t xml:space="preserve">1.21</t>
  </si>
  <si>
    <t xml:space="preserve">Vetting process for all third-party resources (packages, containers, templates) before approval for local use.</t>
  </si>
  <si>
    <t xml:space="preserve">1.22</t>
  </si>
  <si>
    <t xml:space="preserve">All project dependencies explicitly pinned to fixed, verified versions. Floating/wildcard/latest specifiers prohibited in production CI/CD builds.</t>
  </si>
  <si>
    <t xml:space="preserve">1.23</t>
  </si>
  <si>
    <t xml:space="preserve">Projects include validated lock files (package-lock.json, Pipfile.lock etc.). Any dependency update triggers automated SCA review.</t>
  </si>
  <si>
    <t xml:space="preserve">1.24</t>
  </si>
  <si>
    <t xml:space="preserve">SAST / DAST</t>
  </si>
  <si>
    <t xml:space="preserve">All CI/CD pipelines integrate automated SCA. Scans run on every build and pull request. Critical/high-severity findings block promotion or merge.</t>
  </si>
  <si>
    <t xml:space="preserve">1.25</t>
  </si>
  <si>
    <t xml:space="preserve">All dependencies sourced exclusively from trusted/approved registries. Signature verification, TLS encryption, and access control enforced.</t>
  </si>
  <si>
    <t xml:space="preserve">1.26</t>
  </si>
  <si>
    <t xml:space="preserve">Automated secrets scanning at every SDLC stage including pre-commit, pull request, and build. Detected secrets trigger immediate alert and automated revocation.</t>
  </si>
  <si>
    <t xml:space="preserve">1.27</t>
  </si>
  <si>
    <t xml:space="preserve">All application source code undergoes automated SAST using enterprise-approved solution. Incremental scans on every PR to main/release. Critical/high findings block merge.</t>
  </si>
  <si>
    <t xml:space="preserve">1.28</t>
  </si>
  <si>
    <t xml:space="preserve">All applications undergo automated DAST within CI/CD and pre-production. Includes web + API runtime scanning. Critical/high findings block promotion.</t>
  </si>
  <si>
    <t xml:space="preserve">1.29</t>
  </si>
  <si>
    <t xml:space="preserve">IaC Security</t>
  </si>
  <si>
    <t xml:space="preserve">All IaC templates scanned for misconfigurations before deployment. Aligned with CIS Benchmarks, NIST 800-53. Critical findings block deployment.</t>
  </si>
  <si>
    <t xml:space="preserve">1.30</t>
  </si>
  <si>
    <t xml:space="preserve">Env Segregation</t>
  </si>
  <si>
    <t xml:space="preserve">All DevSecOps environments logically segregated (Dev/Test/Staging/Prod). Separate identities, pipelines, data, and secrets per environment. No cross-env credential sharing.</t>
  </si>
  <si>
    <t xml:space="preserve">1.31</t>
  </si>
  <si>
    <t xml:space="preserve">All promotions between environments governed by automated promotion gates verifying artifact integrity, scan results, approval workflows, and policy compliance.</t>
  </si>
  <si>
    <t xml:space="preserve">1.32</t>
  </si>
  <si>
    <t xml:space="preserve">All secrets stored exclusively in approved enterprise secrets management systems (Azure Key Vault, AWS Secrets Manager, HashiCorp Vault). Must never reside in code/images/CI configs.</t>
  </si>
  <si>
    <t xml:space="preserve">1.33</t>
  </si>
  <si>
    <t xml:space="preserve">Container &amp; Artifacts</t>
  </si>
  <si>
    <t xml:space="preserve">Container images immutable, reproducible, and verifiably trusted. Referenced by digest (SHA256). Each build generates cryptographically signed SBOM and provenance attestation.</t>
  </si>
  <si>
    <t xml:space="preserve">1.34</t>
  </si>
  <si>
    <t xml:space="preserve">Container images undergo automated vulnerability scanning during build, pre-deployment, and at runtime. Critical/high findings block image promotion.</t>
  </si>
  <si>
    <t xml:space="preserve">1.35</t>
  </si>
  <si>
    <t xml:space="preserve">All build artifacts cryptographically signed at build time. Deployment pipelines verify signatures and provenance attestations. Unsigned artifacts blocked.</t>
  </si>
  <si>
    <t xml:space="preserve">1.36</t>
  </si>
  <si>
    <t xml:space="preserve">Build pipelines generate SBOM for every compiled or containerized artifact. SBOMs stored securely in centralized evidence repository for compliance retention.</t>
  </si>
  <si>
    <t xml:space="preserve">1.37</t>
  </si>
  <si>
    <t xml:space="preserve">Build artifacts stored in immutable, encrypted repositories with cryptographic signature verification. Encryption at rest and in transit enforced.</t>
  </si>
  <si>
    <t xml:space="preserve">1.38</t>
  </si>
  <si>
    <t xml:space="preserve">Policy as Code</t>
  </si>
  <si>
    <t xml:space="preserve">All DevSecOps environments implement Policy-as-Code (PaC) to enforce security, compliance, and operational guardrails. Policies version-controlled and auditable.</t>
  </si>
  <si>
    <t xml:space="preserve">1.39</t>
  </si>
  <si>
    <t xml:space="preserve">Monitoring &amp; Audit</t>
  </si>
  <si>
    <t xml:space="preserve">CI/CD pipelines continuously monitored for unauthorized changes, anomalous executions, and deviations. Real-time visibility into pipeline activity and credential usage.</t>
  </si>
  <si>
    <t xml:space="preserve">1.40</t>
  </si>
  <si>
    <t xml:space="preserve">All CI/CD pipeline logs immutably stored and forwarded to centralized SIEM. Logs protected from modification/deletion, digitally signed, and retained per policy.</t>
  </si>
  <si>
    <t xml:space="preserve">1.41</t>
  </si>
  <si>
    <t xml:space="preserve">All developer workstations and cloud-based DevBoxes operate in isolated, secured, managed environments. All dev activity logged and monitored.</t>
  </si>
  <si>
    <t xml:space="preserve">UOJ DevSecOps — Compliance Dashboard</t>
  </si>
  <si>
    <t xml:space="preserve">Auto-calculated from Checklist sheet · Last updated: see date column</t>
  </si>
  <si>
    <t xml:space="preserve">Total Controls</t>
  </si>
  <si>
    <t xml:space="preserve">Total</t>
  </si>
  <si>
    <t xml:space="preserve">Compliant</t>
  </si>
  <si>
    <t xml:space="preserve">In Progress</t>
  </si>
  <si>
    <t xml:space="preserve">N/A</t>
  </si>
  <si>
    <t xml:space="preserve">% Complete</t>
  </si>
  <si>
    <t xml:space="preserve">Critical Controls</t>
  </si>
  <si>
    <t xml:space="preserve">Critical Compliant</t>
  </si>
  <si>
    <t xml:space="preserve">Blockers Active</t>
  </si>
  <si>
    <t xml:space="preserve">Legend &amp; Instructions</t>
  </si>
  <si>
    <t xml:space="preserve">Type</t>
  </si>
  <si>
    <t xml:space="preserve">Value</t>
  </si>
  <si>
    <t xml:space="preserve">Meaning</t>
  </si>
  <si>
    <t xml:space="preserve">Status</t>
  </si>
  <si>
    <t xml:space="preserve">Control fully implemented and verified with evidence</t>
  </si>
  <si>
    <t xml:space="preserve">Control partially implemented or under active work</t>
  </si>
  <si>
    <t xml:space="preserve">Control not yet started</t>
  </si>
  <si>
    <t xml:space="preserve">Control not applicable to UOJ scope</t>
  </si>
  <si>
    <t xml:space="preserve">Must be addressed before production go-live</t>
  </si>
  <si>
    <t xml:space="preserve">Should be addressed in current sprint</t>
  </si>
  <si>
    <t xml:space="preserve">Address in next 2 sprints</t>
  </si>
  <si>
    <t xml:space="preserve">Low</t>
  </si>
  <si>
    <t xml:space="preserve">Nice to have / future hardening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</si>
</sst>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.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D1F64"/>
      <name val="Arial"/>
      <family val="0"/>
      <charset val="1"/>
    </font>
    <font>
      <b val="true"/>
      <sz val="9"/>
      <color rgb="FF1A5C2A"/>
      <name val="Arial"/>
      <family val="0"/>
      <charset val="1"/>
    </font>
    <font>
      <b val="true"/>
      <sz val="9"/>
      <color rgb="FF6B3A10"/>
      <name val="Arial"/>
      <family val="0"/>
      <charset val="1"/>
    </font>
    <font>
      <b val="true"/>
      <sz val="9"/>
      <color rgb="FF641F3D"/>
      <name val="Arial"/>
      <family val="0"/>
      <charset val="1"/>
    </font>
    <font>
      <b val="true"/>
      <sz val="9"/>
      <color rgb="FF1A5C4A"/>
      <name val="Arial"/>
      <family val="0"/>
      <charset val="1"/>
    </font>
    <font>
      <b val="true"/>
      <sz val="9"/>
      <color rgb="FF3A3A28"/>
      <name val="Arial"/>
      <family val="0"/>
      <charset val="1"/>
    </font>
    <font>
      <b val="true"/>
      <sz val="9"/>
      <color rgb="FF6B1A1A"/>
      <name val="Arial"/>
      <family val="0"/>
      <charset val="1"/>
    </font>
    <font>
      <b val="true"/>
      <sz val="9"/>
      <color rgb="FF3A2864"/>
      <name val="Arial"/>
      <family val="0"/>
      <charset val="1"/>
    </font>
    <font>
      <b val="true"/>
      <sz val="9"/>
      <color rgb="FF1A4A5C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276221"/>
      <name val="Arial"/>
      <family val="0"/>
      <charset val="1"/>
    </font>
    <font>
      <b val="true"/>
      <sz val="9"/>
      <color rgb="FF9C65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666666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1A4A5C"/>
      </patternFill>
    </fill>
    <fill>
      <patternFill patternType="solid">
        <fgColor rgb="FF2E4D7A"/>
        <bgColor rgb="FF2C5282"/>
      </patternFill>
    </fill>
    <fill>
      <patternFill patternType="solid">
        <fgColor rgb="FF2C5282"/>
        <bgColor rgb="FF2E4D7A"/>
      </patternFill>
    </fill>
    <fill>
      <patternFill patternType="solid">
        <fgColor rgb="FFFFFFFF"/>
        <bgColor rgb="FFF8F9FA"/>
      </patternFill>
    </fill>
    <fill>
      <patternFill patternType="solid">
        <fgColor rgb="FFD9E8F5"/>
        <bgColor rgb="FFD9EEF5"/>
      </patternFill>
    </fill>
    <fill>
      <patternFill patternType="solid">
        <fgColor rgb="FFF8F9FA"/>
        <bgColor rgb="FFFFFFFF"/>
      </patternFill>
    </fill>
    <fill>
      <patternFill patternType="solid">
        <fgColor rgb="FFE8D9F5"/>
        <bgColor rgb="FFF5D9E8"/>
      </patternFill>
    </fill>
    <fill>
      <patternFill patternType="solid">
        <fgColor rgb="FFD9F5E4"/>
        <bgColor rgb="FFD9F5EE"/>
      </patternFill>
    </fill>
    <fill>
      <patternFill patternType="solid">
        <fgColor rgb="FFFAE8D0"/>
        <bgColor rgb="FFF0F0E8"/>
      </patternFill>
    </fill>
    <fill>
      <patternFill patternType="solid">
        <fgColor rgb="FFF5D9E8"/>
        <bgColor rgb="FFFAD9D9"/>
      </patternFill>
    </fill>
    <fill>
      <patternFill patternType="solid">
        <fgColor rgb="FFD9F5EE"/>
        <bgColor rgb="FFD9F5E4"/>
      </patternFill>
    </fill>
    <fill>
      <patternFill patternType="solid">
        <fgColor rgb="FFF0F0E8"/>
        <bgColor rgb="FFF0F0F0"/>
      </patternFill>
    </fill>
    <fill>
      <patternFill patternType="solid">
        <fgColor rgb="FFFAD9D9"/>
        <bgColor rgb="FFF5D9E8"/>
      </patternFill>
    </fill>
    <fill>
      <patternFill patternType="solid">
        <fgColor rgb="FFEEE8FA"/>
        <bgColor rgb="FFF0F0F0"/>
      </patternFill>
    </fill>
    <fill>
      <patternFill patternType="solid">
        <fgColor rgb="FFD9EEF5"/>
        <bgColor rgb="FFD9E8F5"/>
      </patternFill>
    </fill>
    <fill>
      <patternFill patternType="solid">
        <fgColor rgb="FFC6EFCE"/>
        <bgColor rgb="FFD9F5E4"/>
      </patternFill>
    </fill>
    <fill>
      <patternFill patternType="solid">
        <fgColor rgb="FFFFEB9C"/>
        <bgColor rgb="FFFAE8D0"/>
      </patternFill>
    </fill>
    <fill>
      <patternFill patternType="solid">
        <fgColor rgb="FFFFC7CE"/>
        <bgColor rgb="FFFAD9D9"/>
      </patternFill>
    </fill>
    <fill>
      <patternFill patternType="solid">
        <fgColor rgb="FFE0E0E0"/>
        <bgColor rgb="FFE8D9F5"/>
      </patternFill>
    </fill>
    <fill>
      <patternFill patternType="solid">
        <fgColor rgb="FFE8F4E8"/>
        <bgColor rgb="FFF0F0E8"/>
      </patternFill>
    </fill>
    <fill>
      <patternFill patternType="solid">
        <fgColor rgb="FFF0F0F0"/>
        <bgColor rgb="FFF0F0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4">
    <dxf>
      <fill>
        <patternFill patternType="solid">
          <fgColor rgb="FF2C5282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8F5"/>
          <bgColor rgb="FF000000"/>
        </patternFill>
      </fill>
    </dxf>
    <dxf>
      <fill>
        <patternFill patternType="solid">
          <fgColor rgb="FFD9EEF5"/>
          <bgColor rgb="FF000000"/>
        </patternFill>
      </fill>
    </dxf>
    <dxf>
      <fill>
        <patternFill patternType="solid">
          <fgColor rgb="FFD9F5E4"/>
          <bgColor rgb="FF000000"/>
        </patternFill>
      </fill>
    </dxf>
    <dxf>
      <fill>
        <patternFill patternType="solid">
          <fgColor rgb="FFD9F5EE"/>
          <bgColor rgb="FF000000"/>
        </patternFill>
      </fill>
    </dxf>
    <dxf>
      <fill>
        <patternFill patternType="solid">
          <fgColor rgb="FFE8D9F5"/>
          <bgColor rgb="FF000000"/>
        </patternFill>
      </fill>
    </dxf>
    <dxf>
      <fill>
        <patternFill patternType="solid">
          <fgColor rgb="FFEEE8FA"/>
          <bgColor rgb="FF000000"/>
        </patternFill>
      </fill>
    </dxf>
    <dxf>
      <fill>
        <patternFill patternType="solid">
          <fgColor rgb="FFF0F0E8"/>
          <bgColor rgb="FF000000"/>
        </patternFill>
      </fill>
    </dxf>
    <dxf>
      <fill>
        <patternFill patternType="solid">
          <fgColor rgb="FFF5D9E8"/>
          <bgColor rgb="FF000000"/>
        </patternFill>
      </fill>
    </dxf>
    <dxf>
      <fill>
        <patternFill patternType="solid">
          <fgColor rgb="FFFAD9D9"/>
          <bgColor rgb="FF000000"/>
        </patternFill>
      </fill>
    </dxf>
    <dxf>
      <fill>
        <patternFill patternType="solid">
          <fgColor rgb="FFFAE8D0"/>
          <bgColor rgb="FF000000"/>
        </patternFill>
      </fill>
    </dxf>
    <dxf>
      <fill>
        <patternFill patternType="solid">
          <fgColor rgb="FF1A4A5C"/>
          <bgColor rgb="FF000000"/>
        </patternFill>
      </fill>
    </dxf>
    <dxf>
      <fill>
        <patternFill patternType="solid">
          <fgColor rgb="FF1A5C2A"/>
          <bgColor rgb="FF000000"/>
        </patternFill>
      </fill>
    </dxf>
    <dxf>
      <fill>
        <patternFill patternType="solid">
          <fgColor rgb="FF1A5C4A"/>
          <bgColor rgb="FF000000"/>
        </patternFill>
      </fill>
    </dxf>
    <dxf>
      <fill>
        <patternFill patternType="solid">
          <fgColor rgb="FF3A2864"/>
          <bgColor rgb="FF000000"/>
        </patternFill>
      </fill>
    </dxf>
    <dxf>
      <fill>
        <patternFill patternType="solid">
          <fgColor rgb="FF3A3A28"/>
          <bgColor rgb="FF000000"/>
        </patternFill>
      </fill>
    </dxf>
    <dxf>
      <fill>
        <patternFill patternType="solid">
          <fgColor rgb="FF3D1F64"/>
          <bgColor rgb="FF000000"/>
        </patternFill>
      </fill>
    </dxf>
    <dxf>
      <fill>
        <patternFill patternType="solid">
          <fgColor rgb="FF641F3D"/>
          <bgColor rgb="FF000000"/>
        </patternFill>
      </fill>
    </dxf>
    <dxf>
      <fill>
        <patternFill patternType="solid">
          <fgColor rgb="FF6B1A1A"/>
          <bgColor rgb="FF000000"/>
        </patternFill>
      </fill>
    </dxf>
    <dxf>
      <fill>
        <patternFill patternType="solid">
          <fgColor rgb="FF6B3A1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b val="1"/>
        <color rgb="FF276221"/>
        <sz val="9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9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666666"/>
        <sz val="9"/>
      </font>
      <fill>
        <patternFill>
          <bgColor rgb="FFE0E0E0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AD9D9"/>
        </patternFill>
      </fill>
    </dxf>
    <dxf>
      <font>
        <name val="Arial"/>
        <charset val="1"/>
        <family val="0"/>
        <color rgb="FF9C6500"/>
        <sz val="9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AE8D0"/>
      <rgbColor rgb="FFFF00FF"/>
      <rgbColor rgb="FF00FFFF"/>
      <rgbColor rgb="FF9C0006"/>
      <rgbColor rgb="FF276221"/>
      <rgbColor rgb="FF3D1F64"/>
      <rgbColor rgb="FF9C6500"/>
      <rgbColor rgb="FF800080"/>
      <rgbColor rgb="FF1A5C4A"/>
      <rgbColor rgb="FFE0E0E0"/>
      <rgbColor rgb="FF808080"/>
      <rgbColor rgb="FFD9EEF5"/>
      <rgbColor rgb="FF993366"/>
      <rgbColor rgb="FFF8F9FA"/>
      <rgbColor rgb="FFD9F5EE"/>
      <rgbColor rgb="FF641F3D"/>
      <rgbColor rgb="FFF0F0F0"/>
      <rgbColor rgb="FF2C5282"/>
      <rgbColor rgb="FFE8D9F5"/>
      <rgbColor rgb="FF000080"/>
      <rgbColor rgb="FFFF00FF"/>
      <rgbColor rgb="FFF0F0E8"/>
      <rgbColor rgb="FF00FFFF"/>
      <rgbColor rgb="FF800080"/>
      <rgbColor rgb="FF6B1A1A"/>
      <rgbColor rgb="FF1A4A5C"/>
      <rgbColor rgb="FF0000FF"/>
      <rgbColor rgb="FF00CCFF"/>
      <rgbColor rgb="FFD9F5E4"/>
      <rgbColor rgb="FFC6EFCE"/>
      <rgbColor rgb="FFFFEB9C"/>
      <rgbColor rgb="FFD9E8F5"/>
      <rgbColor rgb="FFFAD9D9"/>
      <rgbColor rgb="FFF5D9E8"/>
      <rgbColor rgb="FFFFC7CE"/>
      <rgbColor rgb="FF2E4D7A"/>
      <rgbColor rgb="FF33CCCC"/>
      <rgbColor rgb="FF99CC00"/>
      <rgbColor rgb="FFE8F4E8"/>
      <rgbColor rgb="FFFF9900"/>
      <rgbColor rgb="FFFF6600"/>
      <rgbColor rgb="FF666666"/>
      <rgbColor rgb="FFEEE8FA"/>
      <rgbColor rgb="FF1F3864"/>
      <rgbColor rgb="FF339966"/>
      <rgbColor rgb="FF1A5C2A"/>
      <rgbColor rgb="FF444444"/>
      <rgbColor rgb="FF6B3A10"/>
      <rgbColor rgb="FF993366"/>
      <rgbColor rgb="FF3A2864"/>
      <rgbColor rgb="FF3A3A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6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5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51.75" hidden="false" customHeight="true" outlineLevel="0" collapsed="false">
      <c r="A4" s="4" t="s">
        <v>12</v>
      </c>
      <c r="B4" s="5" t="s">
        <v>13</v>
      </c>
      <c r="C4" s="6" t="s">
        <v>14</v>
      </c>
      <c r="D4" s="7" t="s">
        <v>15</v>
      </c>
      <c r="E4" s="8"/>
      <c r="F4" s="9"/>
      <c r="G4" s="6"/>
      <c r="H4" s="7" t="s">
        <v>16</v>
      </c>
      <c r="I4" s="7" t="s">
        <v>17</v>
      </c>
      <c r="J4" s="7"/>
    </row>
    <row r="5" customFormat="false" ht="51.75" hidden="false" customHeight="true" outlineLevel="0" collapsed="false">
      <c r="A5" s="10" t="s">
        <v>18</v>
      </c>
      <c r="B5" s="11" t="s">
        <v>19</v>
      </c>
      <c r="C5" s="12" t="s">
        <v>20</v>
      </c>
      <c r="D5" s="13" t="s">
        <v>15</v>
      </c>
      <c r="E5" s="14"/>
      <c r="F5" s="15"/>
      <c r="G5" s="12"/>
      <c r="H5" s="13" t="s">
        <v>16</v>
      </c>
      <c r="I5" s="13" t="s">
        <v>17</v>
      </c>
      <c r="J5" s="13"/>
    </row>
    <row r="6" customFormat="false" ht="51.75" hidden="false" customHeight="true" outlineLevel="0" collapsed="false">
      <c r="A6" s="4" t="s">
        <v>21</v>
      </c>
      <c r="B6" s="5" t="s">
        <v>13</v>
      </c>
      <c r="C6" s="6" t="s">
        <v>22</v>
      </c>
      <c r="D6" s="7" t="s">
        <v>15</v>
      </c>
      <c r="E6" s="8"/>
      <c r="F6" s="9"/>
      <c r="G6" s="6"/>
      <c r="H6" s="7" t="s">
        <v>16</v>
      </c>
      <c r="I6" s="7" t="s">
        <v>17</v>
      </c>
      <c r="J6" s="7"/>
    </row>
    <row r="7" customFormat="false" ht="51.75" hidden="false" customHeight="true" outlineLevel="0" collapsed="false">
      <c r="A7" s="10" t="s">
        <v>23</v>
      </c>
      <c r="B7" s="16" t="s">
        <v>24</v>
      </c>
      <c r="C7" s="12" t="s">
        <v>25</v>
      </c>
      <c r="D7" s="13" t="s">
        <v>15</v>
      </c>
      <c r="E7" s="14"/>
      <c r="F7" s="15"/>
      <c r="G7" s="12"/>
      <c r="H7" s="13" t="s">
        <v>16</v>
      </c>
      <c r="I7" s="13" t="s">
        <v>17</v>
      </c>
      <c r="J7" s="13"/>
    </row>
    <row r="8" customFormat="false" ht="51.75" hidden="false" customHeight="true" outlineLevel="0" collapsed="false">
      <c r="A8" s="4" t="s">
        <v>26</v>
      </c>
      <c r="B8" s="11" t="s">
        <v>19</v>
      </c>
      <c r="C8" s="6" t="s">
        <v>27</v>
      </c>
      <c r="D8" s="7" t="s">
        <v>15</v>
      </c>
      <c r="E8" s="8"/>
      <c r="F8" s="9"/>
      <c r="G8" s="6"/>
      <c r="H8" s="7" t="s">
        <v>16</v>
      </c>
      <c r="I8" s="7" t="s">
        <v>17</v>
      </c>
      <c r="J8" s="7"/>
    </row>
    <row r="9" customFormat="false" ht="51.75" hidden="false" customHeight="true" outlineLevel="0" collapsed="false">
      <c r="A9" s="10" t="s">
        <v>28</v>
      </c>
      <c r="B9" s="5" t="s">
        <v>13</v>
      </c>
      <c r="C9" s="12" t="s">
        <v>29</v>
      </c>
      <c r="D9" s="13" t="s">
        <v>15</v>
      </c>
      <c r="E9" s="14"/>
      <c r="F9" s="15"/>
      <c r="G9" s="12"/>
      <c r="H9" s="13" t="s">
        <v>16</v>
      </c>
      <c r="I9" s="13" t="s">
        <v>17</v>
      </c>
      <c r="J9" s="13"/>
    </row>
    <row r="10" customFormat="false" ht="51.75" hidden="false" customHeight="true" outlineLevel="0" collapsed="false">
      <c r="A10" s="4" t="s">
        <v>30</v>
      </c>
      <c r="B10" s="5" t="s">
        <v>13</v>
      </c>
      <c r="C10" s="6" t="s">
        <v>31</v>
      </c>
      <c r="D10" s="7" t="s">
        <v>15</v>
      </c>
      <c r="E10" s="8"/>
      <c r="F10" s="9"/>
      <c r="G10" s="6"/>
      <c r="H10" s="7" t="s">
        <v>16</v>
      </c>
      <c r="I10" s="7" t="s">
        <v>17</v>
      </c>
      <c r="J10" s="7"/>
    </row>
    <row r="11" customFormat="false" ht="51.75" hidden="false" customHeight="true" outlineLevel="0" collapsed="false">
      <c r="A11" s="10" t="s">
        <v>32</v>
      </c>
      <c r="B11" s="17" t="s">
        <v>33</v>
      </c>
      <c r="C11" s="12" t="s">
        <v>34</v>
      </c>
      <c r="D11" s="13" t="s">
        <v>15</v>
      </c>
      <c r="E11" s="14"/>
      <c r="F11" s="15"/>
      <c r="G11" s="12"/>
      <c r="H11" s="13" t="s">
        <v>35</v>
      </c>
      <c r="I11" s="13" t="s">
        <v>17</v>
      </c>
      <c r="J11" s="13"/>
    </row>
    <row r="12" customFormat="false" ht="51.75" hidden="false" customHeight="true" outlineLevel="0" collapsed="false">
      <c r="A12" s="4" t="s">
        <v>36</v>
      </c>
      <c r="B12" s="5" t="s">
        <v>13</v>
      </c>
      <c r="C12" s="6" t="s">
        <v>37</v>
      </c>
      <c r="D12" s="7" t="s">
        <v>15</v>
      </c>
      <c r="E12" s="8"/>
      <c r="F12" s="9"/>
      <c r="G12" s="6"/>
      <c r="H12" s="7" t="s">
        <v>16</v>
      </c>
      <c r="I12" s="7" t="s">
        <v>17</v>
      </c>
      <c r="J12" s="7"/>
    </row>
    <row r="13" customFormat="false" ht="51.75" hidden="false" customHeight="true" outlineLevel="0" collapsed="false">
      <c r="A13" s="10" t="s">
        <v>38</v>
      </c>
      <c r="B13" s="5" t="s">
        <v>13</v>
      </c>
      <c r="C13" s="12" t="s">
        <v>39</v>
      </c>
      <c r="D13" s="13" t="s">
        <v>15</v>
      </c>
      <c r="E13" s="14"/>
      <c r="F13" s="15"/>
      <c r="G13" s="12"/>
      <c r="H13" s="13" t="s">
        <v>16</v>
      </c>
      <c r="I13" s="13" t="s">
        <v>17</v>
      </c>
      <c r="J13" s="13"/>
    </row>
    <row r="14" customFormat="false" ht="51.75" hidden="false" customHeight="true" outlineLevel="0" collapsed="false">
      <c r="A14" s="4" t="s">
        <v>40</v>
      </c>
      <c r="B14" s="5" t="s">
        <v>13</v>
      </c>
      <c r="C14" s="6" t="s">
        <v>41</v>
      </c>
      <c r="D14" s="7" t="s">
        <v>15</v>
      </c>
      <c r="E14" s="8"/>
      <c r="F14" s="9"/>
      <c r="G14" s="6"/>
      <c r="H14" s="7" t="s">
        <v>16</v>
      </c>
      <c r="I14" s="7" t="s">
        <v>17</v>
      </c>
      <c r="J14" s="7"/>
    </row>
    <row r="15" customFormat="false" ht="51.75" hidden="false" customHeight="true" outlineLevel="0" collapsed="false">
      <c r="A15" s="10" t="s">
        <v>42</v>
      </c>
      <c r="B15" s="16" t="s">
        <v>24</v>
      </c>
      <c r="C15" s="12" t="s">
        <v>43</v>
      </c>
      <c r="D15" s="13" t="s">
        <v>15</v>
      </c>
      <c r="E15" s="14"/>
      <c r="F15" s="15"/>
      <c r="G15" s="12"/>
      <c r="H15" s="13" t="s">
        <v>35</v>
      </c>
      <c r="I15" s="13" t="s">
        <v>17</v>
      </c>
      <c r="J15" s="13"/>
    </row>
    <row r="16" customFormat="false" ht="51.75" hidden="false" customHeight="true" outlineLevel="0" collapsed="false">
      <c r="A16" s="4" t="s">
        <v>44</v>
      </c>
      <c r="B16" s="16" t="s">
        <v>24</v>
      </c>
      <c r="C16" s="6" t="s">
        <v>45</v>
      </c>
      <c r="D16" s="7" t="s">
        <v>15</v>
      </c>
      <c r="E16" s="8"/>
      <c r="F16" s="9"/>
      <c r="G16" s="6"/>
      <c r="H16" s="7" t="s">
        <v>16</v>
      </c>
      <c r="I16" s="7" t="s">
        <v>17</v>
      </c>
      <c r="J16" s="7"/>
    </row>
    <row r="17" customFormat="false" ht="51.75" hidden="false" customHeight="true" outlineLevel="0" collapsed="false">
      <c r="A17" s="10" t="s">
        <v>46</v>
      </c>
      <c r="B17" s="16" t="s">
        <v>24</v>
      </c>
      <c r="C17" s="12" t="s">
        <v>47</v>
      </c>
      <c r="D17" s="13" t="s">
        <v>15</v>
      </c>
      <c r="E17" s="14"/>
      <c r="F17" s="15"/>
      <c r="G17" s="12"/>
      <c r="H17" s="13" t="s">
        <v>16</v>
      </c>
      <c r="I17" s="13" t="s">
        <v>17</v>
      </c>
      <c r="J17" s="13"/>
    </row>
    <row r="18" customFormat="false" ht="51.75" hidden="false" customHeight="true" outlineLevel="0" collapsed="false">
      <c r="A18" s="4" t="s">
        <v>48</v>
      </c>
      <c r="B18" s="11" t="s">
        <v>19</v>
      </c>
      <c r="C18" s="6" t="s">
        <v>49</v>
      </c>
      <c r="D18" s="7" t="s">
        <v>15</v>
      </c>
      <c r="E18" s="8"/>
      <c r="F18" s="9"/>
      <c r="G18" s="6"/>
      <c r="H18" s="7" t="s">
        <v>16</v>
      </c>
      <c r="I18" s="7" t="s">
        <v>17</v>
      </c>
      <c r="J18" s="7"/>
    </row>
    <row r="19" customFormat="false" ht="51.75" hidden="false" customHeight="true" outlineLevel="0" collapsed="false">
      <c r="A19" s="10" t="s">
        <v>50</v>
      </c>
      <c r="B19" s="11" t="s">
        <v>19</v>
      </c>
      <c r="C19" s="12" t="s">
        <v>51</v>
      </c>
      <c r="D19" s="13" t="s">
        <v>15</v>
      </c>
      <c r="E19" s="14"/>
      <c r="F19" s="15"/>
      <c r="G19" s="12"/>
      <c r="H19" s="13" t="s">
        <v>35</v>
      </c>
      <c r="I19" s="13" t="s">
        <v>17</v>
      </c>
      <c r="J19" s="13"/>
    </row>
    <row r="20" customFormat="false" ht="51.75" hidden="false" customHeight="true" outlineLevel="0" collapsed="false">
      <c r="A20" s="4" t="s">
        <v>52</v>
      </c>
      <c r="B20" s="16" t="s">
        <v>24</v>
      </c>
      <c r="C20" s="6" t="s">
        <v>53</v>
      </c>
      <c r="D20" s="7" t="s">
        <v>15</v>
      </c>
      <c r="E20" s="8"/>
      <c r="F20" s="9"/>
      <c r="G20" s="6"/>
      <c r="H20" s="7" t="s">
        <v>54</v>
      </c>
      <c r="I20" s="7" t="s">
        <v>17</v>
      </c>
      <c r="J20" s="7"/>
    </row>
    <row r="21" customFormat="false" ht="51.75" hidden="false" customHeight="true" outlineLevel="0" collapsed="false">
      <c r="A21" s="10" t="s">
        <v>55</v>
      </c>
      <c r="B21" s="16" t="s">
        <v>24</v>
      </c>
      <c r="C21" s="12" t="s">
        <v>56</v>
      </c>
      <c r="D21" s="13" t="s">
        <v>15</v>
      </c>
      <c r="E21" s="14"/>
      <c r="F21" s="15"/>
      <c r="G21" s="12"/>
      <c r="H21" s="13" t="s">
        <v>35</v>
      </c>
      <c r="I21" s="13" t="s">
        <v>17</v>
      </c>
      <c r="J21" s="13"/>
    </row>
    <row r="22" customFormat="false" ht="51.75" hidden="false" customHeight="true" outlineLevel="0" collapsed="false">
      <c r="A22" s="4" t="s">
        <v>57</v>
      </c>
      <c r="B22" s="16" t="s">
        <v>24</v>
      </c>
      <c r="C22" s="6" t="s">
        <v>58</v>
      </c>
      <c r="D22" s="7" t="s">
        <v>15</v>
      </c>
      <c r="E22" s="8"/>
      <c r="F22" s="9"/>
      <c r="G22" s="6"/>
      <c r="H22" s="7" t="s">
        <v>35</v>
      </c>
      <c r="I22" s="7" t="s">
        <v>17</v>
      </c>
      <c r="J22" s="7"/>
    </row>
    <row r="23" customFormat="false" ht="51.75" hidden="false" customHeight="true" outlineLevel="0" collapsed="false">
      <c r="A23" s="10" t="s">
        <v>59</v>
      </c>
      <c r="B23" s="17" t="s">
        <v>60</v>
      </c>
      <c r="C23" s="12" t="s">
        <v>61</v>
      </c>
      <c r="D23" s="13" t="s">
        <v>15</v>
      </c>
      <c r="E23" s="14"/>
      <c r="F23" s="15"/>
      <c r="G23" s="12"/>
      <c r="H23" s="13" t="s">
        <v>16</v>
      </c>
      <c r="I23" s="13" t="s">
        <v>17</v>
      </c>
      <c r="J23" s="13"/>
    </row>
    <row r="24" customFormat="false" ht="51.75" hidden="false" customHeight="true" outlineLevel="0" collapsed="false">
      <c r="A24" s="4" t="s">
        <v>62</v>
      </c>
      <c r="B24" s="17" t="s">
        <v>60</v>
      </c>
      <c r="C24" s="6" t="s">
        <v>63</v>
      </c>
      <c r="D24" s="7" t="s">
        <v>15</v>
      </c>
      <c r="E24" s="8"/>
      <c r="F24" s="9"/>
      <c r="G24" s="6"/>
      <c r="H24" s="7" t="s">
        <v>16</v>
      </c>
      <c r="I24" s="7" t="s">
        <v>17</v>
      </c>
      <c r="J24" s="7"/>
    </row>
    <row r="25" customFormat="false" ht="51.75" hidden="false" customHeight="true" outlineLevel="0" collapsed="false">
      <c r="A25" s="10" t="s">
        <v>64</v>
      </c>
      <c r="B25" s="17" t="s">
        <v>60</v>
      </c>
      <c r="C25" s="12" t="s">
        <v>65</v>
      </c>
      <c r="D25" s="13" t="s">
        <v>15</v>
      </c>
      <c r="E25" s="14"/>
      <c r="F25" s="15"/>
      <c r="G25" s="12"/>
      <c r="H25" s="13" t="s">
        <v>16</v>
      </c>
      <c r="I25" s="13" t="s">
        <v>17</v>
      </c>
      <c r="J25" s="13"/>
    </row>
    <row r="26" customFormat="false" ht="51.75" hidden="false" customHeight="true" outlineLevel="0" collapsed="false">
      <c r="A26" s="4" t="s">
        <v>66</v>
      </c>
      <c r="B26" s="17" t="s">
        <v>60</v>
      </c>
      <c r="C26" s="6" t="s">
        <v>67</v>
      </c>
      <c r="D26" s="7" t="s">
        <v>15</v>
      </c>
      <c r="E26" s="8"/>
      <c r="F26" s="9"/>
      <c r="G26" s="6"/>
      <c r="H26" s="7" t="s">
        <v>16</v>
      </c>
      <c r="I26" s="7" t="s">
        <v>17</v>
      </c>
      <c r="J26" s="7"/>
    </row>
    <row r="27" customFormat="false" ht="51.75" hidden="false" customHeight="true" outlineLevel="0" collapsed="false">
      <c r="A27" s="10" t="s">
        <v>68</v>
      </c>
      <c r="B27" s="18" t="s">
        <v>69</v>
      </c>
      <c r="C27" s="12" t="s">
        <v>70</v>
      </c>
      <c r="D27" s="13" t="s">
        <v>15</v>
      </c>
      <c r="E27" s="14"/>
      <c r="F27" s="15"/>
      <c r="G27" s="12"/>
      <c r="H27" s="13" t="s">
        <v>35</v>
      </c>
      <c r="I27" s="13" t="s">
        <v>17</v>
      </c>
      <c r="J27" s="13"/>
    </row>
    <row r="28" customFormat="false" ht="51.75" hidden="false" customHeight="true" outlineLevel="0" collapsed="false">
      <c r="A28" s="4" t="s">
        <v>71</v>
      </c>
      <c r="B28" s="17" t="s">
        <v>60</v>
      </c>
      <c r="C28" s="6" t="s">
        <v>72</v>
      </c>
      <c r="D28" s="7" t="s">
        <v>15</v>
      </c>
      <c r="E28" s="8"/>
      <c r="F28" s="9"/>
      <c r="G28" s="6"/>
      <c r="H28" s="7" t="s">
        <v>16</v>
      </c>
      <c r="I28" s="7" t="s">
        <v>17</v>
      </c>
      <c r="J28" s="7"/>
    </row>
    <row r="29" customFormat="false" ht="51.75" hidden="false" customHeight="true" outlineLevel="0" collapsed="false">
      <c r="A29" s="10" t="s">
        <v>73</v>
      </c>
      <c r="B29" s="17" t="s">
        <v>33</v>
      </c>
      <c r="C29" s="12" t="s">
        <v>74</v>
      </c>
      <c r="D29" s="13" t="s">
        <v>15</v>
      </c>
      <c r="E29" s="14"/>
      <c r="F29" s="15"/>
      <c r="G29" s="12"/>
      <c r="H29" s="13" t="s">
        <v>35</v>
      </c>
      <c r="I29" s="13" t="s">
        <v>17</v>
      </c>
      <c r="J29" s="13"/>
    </row>
    <row r="30" customFormat="false" ht="51.75" hidden="false" customHeight="true" outlineLevel="0" collapsed="false">
      <c r="A30" s="4" t="s">
        <v>75</v>
      </c>
      <c r="B30" s="18" t="s">
        <v>69</v>
      </c>
      <c r="C30" s="6" t="s">
        <v>76</v>
      </c>
      <c r="D30" s="7" t="s">
        <v>15</v>
      </c>
      <c r="E30" s="8"/>
      <c r="F30" s="9"/>
      <c r="G30" s="6"/>
      <c r="H30" s="7" t="s">
        <v>35</v>
      </c>
      <c r="I30" s="7" t="s">
        <v>17</v>
      </c>
      <c r="J30" s="7"/>
    </row>
    <row r="31" customFormat="false" ht="51.75" hidden="false" customHeight="true" outlineLevel="0" collapsed="false">
      <c r="A31" s="10" t="s">
        <v>77</v>
      </c>
      <c r="B31" s="18" t="s">
        <v>69</v>
      </c>
      <c r="C31" s="12" t="s">
        <v>78</v>
      </c>
      <c r="D31" s="13" t="s">
        <v>15</v>
      </c>
      <c r="E31" s="14"/>
      <c r="F31" s="15"/>
      <c r="G31" s="12"/>
      <c r="H31" s="13" t="s">
        <v>35</v>
      </c>
      <c r="I31" s="13" t="s">
        <v>17</v>
      </c>
      <c r="J31" s="13"/>
    </row>
    <row r="32" customFormat="false" ht="51.75" hidden="false" customHeight="true" outlineLevel="0" collapsed="false">
      <c r="A32" s="4" t="s">
        <v>79</v>
      </c>
      <c r="B32" s="19" t="s">
        <v>80</v>
      </c>
      <c r="C32" s="6" t="s">
        <v>81</v>
      </c>
      <c r="D32" s="7" t="s">
        <v>15</v>
      </c>
      <c r="E32" s="8"/>
      <c r="F32" s="9"/>
      <c r="G32" s="6"/>
      <c r="H32" s="7" t="s">
        <v>35</v>
      </c>
      <c r="I32" s="7" t="s">
        <v>17</v>
      </c>
      <c r="J32" s="7"/>
    </row>
    <row r="33" customFormat="false" ht="51.75" hidden="false" customHeight="true" outlineLevel="0" collapsed="false">
      <c r="A33" s="10" t="s">
        <v>82</v>
      </c>
      <c r="B33" s="20" t="s">
        <v>83</v>
      </c>
      <c r="C33" s="12" t="s">
        <v>84</v>
      </c>
      <c r="D33" s="13" t="s">
        <v>15</v>
      </c>
      <c r="E33" s="14"/>
      <c r="F33" s="15"/>
      <c r="G33" s="12"/>
      <c r="H33" s="13" t="s">
        <v>35</v>
      </c>
      <c r="I33" s="13" t="s">
        <v>17</v>
      </c>
      <c r="J33" s="13"/>
    </row>
    <row r="34" customFormat="false" ht="51.75" hidden="false" customHeight="true" outlineLevel="0" collapsed="false">
      <c r="A34" s="4" t="s">
        <v>85</v>
      </c>
      <c r="B34" s="20" t="s">
        <v>83</v>
      </c>
      <c r="C34" s="6" t="s">
        <v>86</v>
      </c>
      <c r="D34" s="7" t="s">
        <v>15</v>
      </c>
      <c r="E34" s="8"/>
      <c r="F34" s="9"/>
      <c r="G34" s="6"/>
      <c r="H34" s="7" t="s">
        <v>16</v>
      </c>
      <c r="I34" s="7" t="s">
        <v>17</v>
      </c>
      <c r="J34" s="7"/>
    </row>
    <row r="35" customFormat="false" ht="51.75" hidden="false" customHeight="true" outlineLevel="0" collapsed="false">
      <c r="A35" s="10" t="s">
        <v>87</v>
      </c>
      <c r="B35" s="17" t="s">
        <v>33</v>
      </c>
      <c r="C35" s="12" t="s">
        <v>88</v>
      </c>
      <c r="D35" s="13" t="s">
        <v>15</v>
      </c>
      <c r="E35" s="14"/>
      <c r="F35" s="15"/>
      <c r="G35" s="12"/>
      <c r="H35" s="13" t="s">
        <v>35</v>
      </c>
      <c r="I35" s="13" t="s">
        <v>17</v>
      </c>
      <c r="J35" s="13"/>
    </row>
    <row r="36" customFormat="false" ht="51.75" hidden="false" customHeight="true" outlineLevel="0" collapsed="false">
      <c r="A36" s="4" t="s">
        <v>89</v>
      </c>
      <c r="B36" s="21" t="s">
        <v>90</v>
      </c>
      <c r="C36" s="6" t="s">
        <v>91</v>
      </c>
      <c r="D36" s="7" t="s">
        <v>15</v>
      </c>
      <c r="E36" s="8"/>
      <c r="F36" s="9"/>
      <c r="G36" s="6"/>
      <c r="H36" s="7" t="s">
        <v>16</v>
      </c>
      <c r="I36" s="7" t="s">
        <v>17</v>
      </c>
      <c r="J36" s="7"/>
    </row>
    <row r="37" customFormat="false" ht="51.75" hidden="false" customHeight="true" outlineLevel="0" collapsed="false">
      <c r="A37" s="10" t="s">
        <v>92</v>
      </c>
      <c r="B37" s="21" t="s">
        <v>90</v>
      </c>
      <c r="C37" s="12" t="s">
        <v>93</v>
      </c>
      <c r="D37" s="13" t="s">
        <v>15</v>
      </c>
      <c r="E37" s="14"/>
      <c r="F37" s="15"/>
      <c r="G37" s="12"/>
      <c r="H37" s="13" t="s">
        <v>35</v>
      </c>
      <c r="I37" s="13" t="s">
        <v>17</v>
      </c>
      <c r="J37" s="13"/>
    </row>
    <row r="38" customFormat="false" ht="51.75" hidden="false" customHeight="true" outlineLevel="0" collapsed="false">
      <c r="A38" s="4" t="s">
        <v>94</v>
      </c>
      <c r="B38" s="21" t="s">
        <v>90</v>
      </c>
      <c r="C38" s="6" t="s">
        <v>95</v>
      </c>
      <c r="D38" s="7" t="s">
        <v>15</v>
      </c>
      <c r="E38" s="8"/>
      <c r="F38" s="9"/>
      <c r="G38" s="6"/>
      <c r="H38" s="7" t="s">
        <v>16</v>
      </c>
      <c r="I38" s="7" t="s">
        <v>17</v>
      </c>
      <c r="J38" s="7"/>
    </row>
    <row r="39" customFormat="false" ht="51.75" hidden="false" customHeight="true" outlineLevel="0" collapsed="false">
      <c r="A39" s="10" t="s">
        <v>96</v>
      </c>
      <c r="B39" s="21" t="s">
        <v>90</v>
      </c>
      <c r="C39" s="12" t="s">
        <v>97</v>
      </c>
      <c r="D39" s="13" t="s">
        <v>15</v>
      </c>
      <c r="E39" s="14"/>
      <c r="F39" s="15"/>
      <c r="G39" s="12"/>
      <c r="H39" s="13" t="s">
        <v>16</v>
      </c>
      <c r="I39" s="13" t="s">
        <v>17</v>
      </c>
      <c r="J39" s="13"/>
    </row>
    <row r="40" customFormat="false" ht="51.75" hidden="false" customHeight="true" outlineLevel="0" collapsed="false">
      <c r="A40" s="4" t="s">
        <v>98</v>
      </c>
      <c r="B40" s="21" t="s">
        <v>90</v>
      </c>
      <c r="C40" s="6" t="s">
        <v>99</v>
      </c>
      <c r="D40" s="7" t="s">
        <v>15</v>
      </c>
      <c r="E40" s="8"/>
      <c r="F40" s="9"/>
      <c r="G40" s="6"/>
      <c r="H40" s="7" t="s">
        <v>16</v>
      </c>
      <c r="I40" s="7" t="s">
        <v>17</v>
      </c>
      <c r="J40" s="7"/>
    </row>
    <row r="41" customFormat="false" ht="51.75" hidden="false" customHeight="true" outlineLevel="0" collapsed="false">
      <c r="A41" s="10" t="s">
        <v>100</v>
      </c>
      <c r="B41" s="22" t="s">
        <v>101</v>
      </c>
      <c r="C41" s="12" t="s">
        <v>102</v>
      </c>
      <c r="D41" s="13" t="s">
        <v>15</v>
      </c>
      <c r="E41" s="14"/>
      <c r="F41" s="15"/>
      <c r="G41" s="12"/>
      <c r="H41" s="13" t="s">
        <v>16</v>
      </c>
      <c r="I41" s="13" t="s">
        <v>17</v>
      </c>
      <c r="J41" s="13"/>
    </row>
    <row r="42" customFormat="false" ht="51.75" hidden="false" customHeight="true" outlineLevel="0" collapsed="false">
      <c r="A42" s="4" t="s">
        <v>103</v>
      </c>
      <c r="B42" s="23" t="s">
        <v>104</v>
      </c>
      <c r="C42" s="6" t="s">
        <v>105</v>
      </c>
      <c r="D42" s="7" t="s">
        <v>15</v>
      </c>
      <c r="E42" s="8"/>
      <c r="F42" s="9"/>
      <c r="G42" s="6"/>
      <c r="H42" s="7" t="s">
        <v>16</v>
      </c>
      <c r="I42" s="7" t="s">
        <v>17</v>
      </c>
      <c r="J42" s="7"/>
    </row>
    <row r="43" customFormat="false" ht="51.75" hidden="false" customHeight="true" outlineLevel="0" collapsed="false">
      <c r="A43" s="10" t="s">
        <v>106</v>
      </c>
      <c r="B43" s="23" t="s">
        <v>104</v>
      </c>
      <c r="C43" s="12" t="s">
        <v>107</v>
      </c>
      <c r="D43" s="13" t="s">
        <v>15</v>
      </c>
      <c r="E43" s="14"/>
      <c r="F43" s="15"/>
      <c r="G43" s="12"/>
      <c r="H43" s="13" t="s">
        <v>16</v>
      </c>
      <c r="I43" s="13" t="s">
        <v>17</v>
      </c>
      <c r="J43" s="13"/>
    </row>
    <row r="44" customFormat="false" ht="51.75" hidden="false" customHeight="true" outlineLevel="0" collapsed="false">
      <c r="A44" s="4" t="s">
        <v>108</v>
      </c>
      <c r="B44" s="23" t="s">
        <v>104</v>
      </c>
      <c r="C44" s="6" t="s">
        <v>109</v>
      </c>
      <c r="D44" s="7" t="s">
        <v>15</v>
      </c>
      <c r="E44" s="8"/>
      <c r="F44" s="9"/>
      <c r="G44" s="6"/>
      <c r="H44" s="7" t="s">
        <v>54</v>
      </c>
      <c r="I44" s="7" t="s">
        <v>17</v>
      </c>
      <c r="J44" s="7"/>
    </row>
  </sheetData>
  <autoFilter ref="A3:J44"/>
  <mergeCells count="2">
    <mergeCell ref="A1:J1"/>
    <mergeCell ref="A2:J2"/>
  </mergeCells>
  <conditionalFormatting sqref="D4:D44">
    <cfRule type="cellIs" priority="2" operator="equal" aboveAverage="0" equalAverage="0" bottom="0" percent="0" rank="0" text="" dxfId="28">
      <formula>"Compliant"</formula>
    </cfRule>
    <cfRule type="cellIs" priority="3" operator="equal" aboveAverage="0" equalAverage="0" bottom="0" percent="0" rank="0" text="" dxfId="29">
      <formula>"In Progress"</formula>
    </cfRule>
    <cfRule type="cellIs" priority="4" operator="equal" aboveAverage="0" equalAverage="0" bottom="0" percent="0" rank="0" text="" dxfId="30">
      <formula>"Not Started"</formula>
    </cfRule>
    <cfRule type="cellIs" priority="5" operator="equal" aboveAverage="0" equalAverage="0" bottom="0" percent="0" rank="0" text="" dxfId="31">
      <formula>"N/A"</formula>
    </cfRule>
  </conditionalFormatting>
  <conditionalFormatting sqref="H4:H44">
    <cfRule type="cellIs" priority="6" operator="equal" aboveAverage="0" equalAverage="0" bottom="0" percent="0" rank="0" text="" dxfId="32">
      <formula>"Critical"</formula>
    </cfRule>
    <cfRule type="cellIs" priority="7" operator="equal" aboveAverage="0" equalAverage="0" bottom="0" percent="0" rank="0" text="" dxfId="33">
      <formula>"High"</formula>
    </cfRule>
  </conditionalFormatting>
  <conditionalFormatting sqref="I4:I44">
    <cfRule type="cellIs" priority="8" operator="equal" aboveAverage="0" equalAverage="0" bottom="0" percent="0" rank="0" text="" dxfId="32">
      <formula>"Yes"</formula>
    </cfRule>
  </conditionalFormatting>
  <dataValidations count="3">
    <dataValidation allowBlank="false" error="Choose: Not Started, In Progress, Compliant, or N/A" errorStyle="stop" errorTitle="Invalid Status" operator="between" showDropDown="false" showErrorMessage="true" showInputMessage="false" sqref="D4:D44" type="list">
      <formula1>"Not Started,In Progress,Compliant,N/A"</formula1>
      <formula2>0</formula2>
    </dataValidation>
    <dataValidation allowBlank="false" errorStyle="stop" operator="between" showDropDown="false" showErrorMessage="false" showInputMessage="false" sqref="H4:H44" type="list">
      <formula1>"Critical,High,Medium,Low"</formula1>
      <formula2>0</formula2>
    </dataValidation>
    <dataValidation allowBlank="true" errorStyle="stop" operator="between" showDropDown="false" showErrorMessage="false" showInputMessage="false" sqref="I4:I44" type="list">
      <formula1>"No,Yes"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6221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4" style="0" width="22"/>
    <col collapsed="false" customWidth="true" hidden="false" outlineLevel="0" max="8" min="5" style="0" width="14"/>
  </cols>
  <sheetData>
    <row r="1" customFormat="false" ht="30" hidden="false" customHeight="true" outlineLevel="0" collapsed="false">
      <c r="A1" s="1" t="s">
        <v>110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4" t="s">
        <v>111</v>
      </c>
      <c r="B2" s="24"/>
      <c r="C2" s="24"/>
      <c r="D2" s="24"/>
      <c r="E2" s="24"/>
      <c r="F2" s="24"/>
    </row>
    <row r="4" customFormat="false" ht="15" hidden="false" customHeight="false" outlineLevel="0" collapsed="false">
      <c r="A4" s="25" t="s">
        <v>112</v>
      </c>
      <c r="B4" s="26" t="n">
        <f aca="false">COUNTA('UOJ DevSecOps Checklist'!A4:A44)</f>
        <v>41</v>
      </c>
      <c r="D4" s="27" t="s">
        <v>3</v>
      </c>
      <c r="E4" s="27" t="s">
        <v>113</v>
      </c>
      <c r="F4" s="27" t="s">
        <v>114</v>
      </c>
      <c r="G4" s="27" t="s">
        <v>115</v>
      </c>
      <c r="H4" s="27" t="s">
        <v>15</v>
      </c>
    </row>
    <row r="5" customFormat="false" ht="15" hidden="false" customHeight="false" outlineLevel="0" collapsed="false">
      <c r="A5" s="25" t="s">
        <v>114</v>
      </c>
      <c r="B5" s="26" t="n">
        <f aca="false">COUNTIF('UOJ DevSecOps Checklist'!D4:D44,"Compliant")</f>
        <v>0</v>
      </c>
      <c r="D5" s="28" t="s">
        <v>13</v>
      </c>
      <c r="E5" s="29" t="n">
        <f aca="false">COUNTIF('UOJ DevSecOps Checklist'!B4:B44,D5)</f>
        <v>7</v>
      </c>
      <c r="F5" s="29" t="n">
        <f aca="false">COUNTIFS('UOJ DevSecOps Checklist'!B4:B44,D5,'UOJ DevSecOps Checklist'!D4:D44,"Compliant")</f>
        <v>0</v>
      </c>
      <c r="G5" s="29" t="n">
        <f aca="false">COUNTIFS('UOJ DevSecOps Checklist'!B4:B44,D5,'UOJ DevSecOps Checklist'!D4:D44,"In Progress")</f>
        <v>0</v>
      </c>
      <c r="H5" s="29" t="n">
        <f aca="false">COUNTIFS('UOJ DevSecOps Checklist'!B4:B44,D5,'UOJ DevSecOps Checklist'!D4:D44,"Not Started")</f>
        <v>7</v>
      </c>
    </row>
    <row r="6" customFormat="false" ht="15" hidden="false" customHeight="false" outlineLevel="0" collapsed="false">
      <c r="A6" s="25" t="s">
        <v>115</v>
      </c>
      <c r="B6" s="26" t="n">
        <f aca="false">COUNTIF('UOJ DevSecOps Checklist'!D4:D44,"In Progress")</f>
        <v>0</v>
      </c>
      <c r="D6" s="30" t="s">
        <v>19</v>
      </c>
      <c r="E6" s="29" t="n">
        <f aca="false">COUNTIF('UOJ DevSecOps Checklist'!B4:B44,D6)</f>
        <v>4</v>
      </c>
      <c r="F6" s="29" t="n">
        <f aca="false">COUNTIFS('UOJ DevSecOps Checklist'!B4:B44,D6,'UOJ DevSecOps Checklist'!D4:D44,"Compliant")</f>
        <v>0</v>
      </c>
      <c r="G6" s="29" t="n">
        <f aca="false">COUNTIFS('UOJ DevSecOps Checklist'!B4:B44,D6,'UOJ DevSecOps Checklist'!D4:D44,"In Progress")</f>
        <v>0</v>
      </c>
      <c r="H6" s="29" t="n">
        <f aca="false">COUNTIFS('UOJ DevSecOps Checklist'!B4:B44,D6,'UOJ DevSecOps Checklist'!D4:D44,"Not Started")</f>
        <v>4</v>
      </c>
    </row>
    <row r="7" customFormat="false" ht="15" hidden="false" customHeight="false" outlineLevel="0" collapsed="false">
      <c r="A7" s="25" t="s">
        <v>15</v>
      </c>
      <c r="B7" s="26" t="n">
        <f aca="false">COUNTIF('UOJ DevSecOps Checklist'!D4:D44,"Not Started")</f>
        <v>41</v>
      </c>
      <c r="D7" s="31" t="s">
        <v>33</v>
      </c>
      <c r="E7" s="29" t="n">
        <f aca="false">COUNTIF('UOJ DevSecOps Checklist'!B4:B44,D7)</f>
        <v>3</v>
      </c>
      <c r="F7" s="29" t="n">
        <f aca="false">COUNTIFS('UOJ DevSecOps Checklist'!B4:B44,D7,'UOJ DevSecOps Checklist'!D4:D44,"Compliant")</f>
        <v>0</v>
      </c>
      <c r="G7" s="29" t="n">
        <f aca="false">COUNTIFS('UOJ DevSecOps Checklist'!B4:B44,D7,'UOJ DevSecOps Checklist'!D4:D44,"In Progress")</f>
        <v>0</v>
      </c>
      <c r="H7" s="29" t="n">
        <f aca="false">COUNTIFS('UOJ DevSecOps Checklist'!B4:B44,D7,'UOJ DevSecOps Checklist'!D4:D44,"Not Started")</f>
        <v>3</v>
      </c>
    </row>
    <row r="8" customFormat="false" ht="15" hidden="false" customHeight="false" outlineLevel="0" collapsed="false">
      <c r="A8" s="25" t="s">
        <v>116</v>
      </c>
      <c r="B8" s="26" t="n">
        <f aca="false">COUNTIF('UOJ DevSecOps Checklist'!D4:D44,"N/A")</f>
        <v>0</v>
      </c>
      <c r="D8" s="32" t="s">
        <v>24</v>
      </c>
      <c r="E8" s="29" t="n">
        <f aca="false">COUNTIF('UOJ DevSecOps Checklist'!B4:B44,D8)</f>
        <v>7</v>
      </c>
      <c r="F8" s="29" t="n">
        <f aca="false">COUNTIFS('UOJ DevSecOps Checklist'!B4:B44,D8,'UOJ DevSecOps Checklist'!D4:D44,"Compliant")</f>
        <v>0</v>
      </c>
      <c r="G8" s="29" t="n">
        <f aca="false">COUNTIFS('UOJ DevSecOps Checklist'!B4:B44,D8,'UOJ DevSecOps Checklist'!D4:D44,"In Progress")</f>
        <v>0</v>
      </c>
      <c r="H8" s="29" t="n">
        <f aca="false">COUNTIFS('UOJ DevSecOps Checklist'!B4:B44,D8,'UOJ DevSecOps Checklist'!D4:D44,"Not Started")</f>
        <v>7</v>
      </c>
    </row>
    <row r="9" customFormat="false" ht="15" hidden="false" customHeight="false" outlineLevel="0" collapsed="false">
      <c r="A9" s="25" t="s">
        <v>117</v>
      </c>
      <c r="B9" s="33" t="n">
        <f aca="false">IFERROR(B5/B4,0)</f>
        <v>0</v>
      </c>
      <c r="D9" s="31" t="s">
        <v>60</v>
      </c>
      <c r="E9" s="29" t="n">
        <f aca="false">COUNTIF('UOJ DevSecOps Checklist'!B4:B44,D9)</f>
        <v>5</v>
      </c>
      <c r="F9" s="29" t="n">
        <f aca="false">COUNTIFS('UOJ DevSecOps Checklist'!B4:B44,D9,'UOJ DevSecOps Checklist'!D4:D44,"Compliant")</f>
        <v>0</v>
      </c>
      <c r="G9" s="29" t="n">
        <f aca="false">COUNTIFS('UOJ DevSecOps Checklist'!B4:B44,D9,'UOJ DevSecOps Checklist'!D4:D44,"In Progress")</f>
        <v>0</v>
      </c>
      <c r="H9" s="29" t="n">
        <f aca="false">COUNTIFS('UOJ DevSecOps Checklist'!B4:B44,D9,'UOJ DevSecOps Checklist'!D4:D44,"Not Started")</f>
        <v>5</v>
      </c>
    </row>
    <row r="10" customFormat="false" ht="15" hidden="false" customHeight="false" outlineLevel="0" collapsed="false">
      <c r="A10" s="25" t="s">
        <v>118</v>
      </c>
      <c r="B10" s="26" t="n">
        <f aca="false">COUNTIF('UOJ DevSecOps Checklist'!H4:H44,"Critical")</f>
        <v>13</v>
      </c>
      <c r="D10" s="34" t="s">
        <v>69</v>
      </c>
      <c r="E10" s="29" t="n">
        <f aca="false">COUNTIF('UOJ DevSecOps Checklist'!B4:B44,D10)</f>
        <v>3</v>
      </c>
      <c r="F10" s="29" t="n">
        <f aca="false">COUNTIFS('UOJ DevSecOps Checklist'!B4:B44,D10,'UOJ DevSecOps Checklist'!D4:D44,"Compliant")</f>
        <v>0</v>
      </c>
      <c r="G10" s="29" t="n">
        <f aca="false">COUNTIFS('UOJ DevSecOps Checklist'!B4:B44,D10,'UOJ DevSecOps Checklist'!D4:D44,"In Progress")</f>
        <v>0</v>
      </c>
      <c r="H10" s="29" t="n">
        <f aca="false">COUNTIFS('UOJ DevSecOps Checklist'!B4:B44,D10,'UOJ DevSecOps Checklist'!D4:D44,"Not Started")</f>
        <v>3</v>
      </c>
    </row>
    <row r="11" customFormat="false" ht="15" hidden="false" customHeight="false" outlineLevel="0" collapsed="false">
      <c r="A11" s="25" t="s">
        <v>119</v>
      </c>
      <c r="B11" s="26" t="n">
        <f aca="false">COUNTIFS('UOJ DevSecOps Checklist'!H4:H44,"Critical",'UOJ DevSecOps Checklist'!D4:D44,"Compliant")</f>
        <v>0</v>
      </c>
      <c r="D11" s="35" t="s">
        <v>80</v>
      </c>
      <c r="E11" s="29" t="n">
        <f aca="false">COUNTIF('UOJ DevSecOps Checklist'!B4:B44,D11)</f>
        <v>1</v>
      </c>
      <c r="F11" s="29" t="n">
        <f aca="false">COUNTIFS('UOJ DevSecOps Checklist'!B4:B44,D11,'UOJ DevSecOps Checklist'!D4:D44,"Compliant")</f>
        <v>0</v>
      </c>
      <c r="G11" s="29" t="n">
        <f aca="false">COUNTIFS('UOJ DevSecOps Checklist'!B4:B44,D11,'UOJ DevSecOps Checklist'!D4:D44,"In Progress")</f>
        <v>0</v>
      </c>
      <c r="H11" s="29" t="n">
        <f aca="false">COUNTIFS('UOJ DevSecOps Checklist'!B4:B44,D11,'UOJ DevSecOps Checklist'!D4:D44,"Not Started")</f>
        <v>1</v>
      </c>
    </row>
    <row r="12" customFormat="false" ht="15" hidden="false" customHeight="false" outlineLevel="0" collapsed="false">
      <c r="A12" s="25" t="s">
        <v>120</v>
      </c>
      <c r="B12" s="26" t="n">
        <f aca="false">COUNTIF('UOJ DevSecOps Checklist'!I4:I44,"Yes")</f>
        <v>0</v>
      </c>
      <c r="D12" s="36" t="s">
        <v>90</v>
      </c>
      <c r="E12" s="29" t="n">
        <f aca="false">COUNTIF('UOJ DevSecOps Checklist'!B4:B44,D12)</f>
        <v>5</v>
      </c>
      <c r="F12" s="29" t="n">
        <f aca="false">COUNTIFS('UOJ DevSecOps Checklist'!B4:B44,D12,'UOJ DevSecOps Checklist'!D4:D44,"Compliant")</f>
        <v>0</v>
      </c>
      <c r="G12" s="29" t="n">
        <f aca="false">COUNTIFS('UOJ DevSecOps Checklist'!B4:B44,D12,'UOJ DevSecOps Checklist'!D4:D44,"In Progress")</f>
        <v>0</v>
      </c>
      <c r="H12" s="29" t="n">
        <f aca="false">COUNTIFS('UOJ DevSecOps Checklist'!B4:B44,D12,'UOJ DevSecOps Checklist'!D4:D44,"Not Started")</f>
        <v>5</v>
      </c>
    </row>
    <row r="13" customFormat="false" ht="15" hidden="false" customHeight="false" outlineLevel="0" collapsed="false">
      <c r="D13" s="37" t="s">
        <v>83</v>
      </c>
      <c r="E13" s="29" t="n">
        <f aca="false">COUNTIF('UOJ DevSecOps Checklist'!B4:B44,D13)</f>
        <v>2</v>
      </c>
      <c r="F13" s="29" t="n">
        <f aca="false">COUNTIFS('UOJ DevSecOps Checklist'!B4:B44,D13,'UOJ DevSecOps Checklist'!D4:D44,"Compliant")</f>
        <v>0</v>
      </c>
      <c r="G13" s="29" t="n">
        <f aca="false">COUNTIFS('UOJ DevSecOps Checklist'!B4:B44,D13,'UOJ DevSecOps Checklist'!D4:D44,"In Progress")</f>
        <v>0</v>
      </c>
      <c r="H13" s="29" t="n">
        <f aca="false">COUNTIFS('UOJ DevSecOps Checklist'!B4:B44,D13,'UOJ DevSecOps Checklist'!D4:D44,"Not Started")</f>
        <v>2</v>
      </c>
    </row>
    <row r="14" customFormat="false" ht="15" hidden="false" customHeight="false" outlineLevel="0" collapsed="false">
      <c r="D14" s="38" t="s">
        <v>104</v>
      </c>
      <c r="E14" s="29" t="n">
        <f aca="false">COUNTIF('UOJ DevSecOps Checklist'!B4:B44,D14)</f>
        <v>3</v>
      </c>
      <c r="F14" s="29" t="n">
        <f aca="false">COUNTIFS('UOJ DevSecOps Checklist'!B4:B44,D14,'UOJ DevSecOps Checklist'!D4:D44,"Compliant")</f>
        <v>0</v>
      </c>
      <c r="G14" s="29" t="n">
        <f aca="false">COUNTIFS('UOJ DevSecOps Checklist'!B4:B44,D14,'UOJ DevSecOps Checklist'!D4:D44,"In Progress")</f>
        <v>0</v>
      </c>
      <c r="H14" s="29" t="n">
        <f aca="false">COUNTIFS('UOJ DevSecOps Checklist'!B4:B44,D14,'UOJ DevSecOps Checklist'!D4:D44,"Not Started")</f>
        <v>3</v>
      </c>
    </row>
    <row r="15" customFormat="false" ht="15" hidden="false" customHeight="false" outlineLevel="0" collapsed="false">
      <c r="D15" s="39" t="s">
        <v>101</v>
      </c>
      <c r="E15" s="29" t="n">
        <f aca="false">COUNTIF('UOJ DevSecOps Checklist'!B4:B44,D15)</f>
        <v>1</v>
      </c>
      <c r="F15" s="29" t="n">
        <f aca="false">COUNTIFS('UOJ DevSecOps Checklist'!B4:B44,D15,'UOJ DevSecOps Checklist'!D4:D44,"Compliant")</f>
        <v>0</v>
      </c>
      <c r="G15" s="29" t="n">
        <f aca="false">COUNTIFS('UOJ DevSecOps Checklist'!B4:B44,D15,'UOJ DevSecOps Checklist'!D4:D44,"In Progress")</f>
        <v>0</v>
      </c>
      <c r="H15" s="29" t="n">
        <f aca="false">COUNTIFS('UOJ DevSecOps Checklist'!B4:B44,D15,'UOJ DevSecOps Checklist'!D4:D44,"Not Started")</f>
        <v>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66666"/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24" hidden="false" customHeight="true" outlineLevel="0" collapsed="false">
      <c r="A1" s="40" t="s">
        <v>121</v>
      </c>
      <c r="B1" s="40"/>
      <c r="C1" s="40"/>
    </row>
    <row r="2" customFormat="false" ht="15" hidden="false" customHeight="false" outlineLevel="0" collapsed="false">
      <c r="A2" s="41" t="s">
        <v>122</v>
      </c>
      <c r="B2" s="41" t="s">
        <v>123</v>
      </c>
      <c r="C2" s="41" t="s">
        <v>124</v>
      </c>
    </row>
    <row r="3" customFormat="false" ht="15" hidden="false" customHeight="false" outlineLevel="0" collapsed="false">
      <c r="A3" s="42" t="s">
        <v>125</v>
      </c>
      <c r="B3" s="43" t="s">
        <v>114</v>
      </c>
      <c r="C3" s="44" t="s">
        <v>126</v>
      </c>
    </row>
    <row r="4" customFormat="false" ht="15" hidden="false" customHeight="false" outlineLevel="0" collapsed="false">
      <c r="A4" s="42" t="s">
        <v>125</v>
      </c>
      <c r="B4" s="45" t="s">
        <v>115</v>
      </c>
      <c r="C4" s="44" t="s">
        <v>127</v>
      </c>
    </row>
    <row r="5" customFormat="false" ht="15" hidden="false" customHeight="false" outlineLevel="0" collapsed="false">
      <c r="A5" s="42" t="s">
        <v>125</v>
      </c>
      <c r="B5" s="46" t="s">
        <v>15</v>
      </c>
      <c r="C5" s="44" t="s">
        <v>128</v>
      </c>
    </row>
    <row r="6" customFormat="false" ht="15" hidden="false" customHeight="false" outlineLevel="0" collapsed="false">
      <c r="A6" s="42" t="s">
        <v>125</v>
      </c>
      <c r="B6" s="47" t="s">
        <v>116</v>
      </c>
      <c r="C6" s="44" t="s">
        <v>129</v>
      </c>
    </row>
    <row r="7" customFormat="false" ht="15" hidden="false" customHeight="false" outlineLevel="0" collapsed="false">
      <c r="A7" s="42" t="s">
        <v>9</v>
      </c>
      <c r="B7" s="48" t="s">
        <v>35</v>
      </c>
      <c r="C7" s="44" t="s">
        <v>130</v>
      </c>
    </row>
    <row r="8" customFormat="false" ht="15" hidden="false" customHeight="false" outlineLevel="0" collapsed="false">
      <c r="A8" s="42" t="s">
        <v>9</v>
      </c>
      <c r="B8" s="45" t="s">
        <v>16</v>
      </c>
      <c r="C8" s="44" t="s">
        <v>131</v>
      </c>
    </row>
    <row r="9" customFormat="false" ht="15" hidden="false" customHeight="false" outlineLevel="0" collapsed="false">
      <c r="A9" s="42" t="s">
        <v>9</v>
      </c>
      <c r="B9" s="49" t="s">
        <v>54</v>
      </c>
      <c r="C9" s="44" t="s">
        <v>132</v>
      </c>
    </row>
    <row r="10" customFormat="false" ht="15" hidden="false" customHeight="false" outlineLevel="0" collapsed="false">
      <c r="A10" s="42" t="s">
        <v>9</v>
      </c>
      <c r="B10" s="50" t="s">
        <v>133</v>
      </c>
      <c r="C10" s="44" t="s">
        <v>134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2026-04-02T04:56:19Z</dcterms:created>
  <dc:creator>openpyxl</dc:creator>
  <dc:description/>
  <dc:language>en-US</dc:language>
  <cp:lastModifiedBy/>
  <dcterms:modified xsi:type="dcterms:W3CDTF">2026-04-02T04:56:20Z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